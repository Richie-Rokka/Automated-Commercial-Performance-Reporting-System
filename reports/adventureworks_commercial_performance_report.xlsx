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Category Performance" sheetId="3" state="visible" r:id="rId3"/>
    <sheet name="Product Performance" sheetId="4" state="visible" r:id="rId4"/>
    <sheet name="Customer Performance" sheetId="5" state="visible" r:id="rId5"/>
    <sheet name="Seller Performance" sheetId="6" state="visible" r:id="rId6"/>
  </sheets>
  <definedNames>
    <definedName name="_xlnm._FilterDatabase" localSheetId="1" hidden="1">'Monthly Performance'!$A$3:$F$41</definedName>
    <definedName name="_xlnm._FilterDatabase" localSheetId="2" hidden="1">'Category Performance'!$A$3:$H$7</definedName>
    <definedName name="_xlnm._FilterDatabase" localSheetId="3" hidden="1">'Product Performance'!$A$3:$H$18</definedName>
    <definedName name="_xlnm._FilterDatabase" localSheetId="4" hidden="1">'Customer Performance'!$A$3:$K$18</definedName>
    <definedName name="_xlnm._FilterDatabase" localSheetId="5" hidden="1">'Seller Performance'!$A$3:$J$20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8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Revenue &amp; Gross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Performance'!$A$4:$A$41</f>
            </numRef>
          </cat>
          <val>
            <numRef>
              <f>'Monthly Performance'!$B$4:$B$41</f>
            </numRef>
          </val>
        </ser>
        <ser>
          <idx val="1"/>
          <order val="1"/>
          <tx>
            <strRef>
              <f>'Monthly Performance'!D3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Performance'!$A$4:$A$41</f>
            </numRef>
          </cat>
          <val>
            <numRef>
              <f>'Monthly Performance'!$D$4:$D$41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4" customWidth="1" min="2" max="2"/>
  </cols>
  <sheetData>
    <row r="1">
      <c r="A1" s="6" t="inlineStr">
        <is>
          <t>AUTOMATED COMMERCIAL PERFORMANCE REPORT</t>
        </is>
      </c>
    </row>
    <row r="3">
      <c r="A3" s="7" t="inlineStr">
        <is>
          <t>Reporting Period</t>
        </is>
      </c>
      <c r="B3" s="8" t="inlineStr">
        <is>
          <t>2011-05-31 to 2014-06-30</t>
        </is>
      </c>
    </row>
    <row r="5">
      <c r="A5" s="9" t="inlineStr">
        <is>
          <t>Revenue</t>
        </is>
      </c>
      <c r="B5" s="10" t="n">
        <v>109846381.399888</v>
      </c>
    </row>
    <row r="6">
      <c r="A6" s="9" t="inlineStr">
        <is>
          <t>Cost</t>
        </is>
      </c>
      <c r="B6" s="10" t="n">
        <v>97288600.8008</v>
      </c>
    </row>
    <row r="7">
      <c r="A7" s="9" t="inlineStr">
        <is>
          <t>Gross Profit</t>
        </is>
      </c>
      <c r="B7" s="10" t="n">
        <v>12557780.599088</v>
      </c>
    </row>
    <row r="8">
      <c r="A8" s="9" t="inlineStr">
        <is>
          <t>Gross Margin %</t>
        </is>
      </c>
      <c r="B8" s="11" t="n">
        <v>0.1143212952402345</v>
      </c>
    </row>
    <row r="9">
      <c r="A9" s="9" t="inlineStr">
        <is>
          <t>Sales Lines</t>
        </is>
      </c>
      <c r="B9" s="12" t="n">
        <v>121317</v>
      </c>
    </row>
    <row r="10">
      <c r="A10" s="9" t="inlineStr">
        <is>
          <t>Units Sold</t>
        </is>
      </c>
      <c r="B10" s="12" t="n">
        <v>274914</v>
      </c>
    </row>
    <row r="11">
      <c r="A11" s="9" t="inlineStr">
        <is>
          <t>Customers</t>
        </is>
      </c>
      <c r="B11" s="12" t="n">
        <v>19119</v>
      </c>
    </row>
    <row r="12">
      <c r="A12" s="9" t="inlineStr">
        <is>
          <t>Products</t>
        </is>
      </c>
      <c r="B12" s="12" t="n">
        <v>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9" customWidth="1" min="3" max="3"/>
    <col width="20" customWidth="1" min="4" max="4"/>
    <col width="22" customWidth="1" min="5" max="5"/>
    <col width="12" customWidth="1" min="6" max="6"/>
  </cols>
  <sheetData>
    <row r="1">
      <c r="A1" s="4" t="inlineStr">
        <is>
          <t>Monthly Commercial Performance</t>
        </is>
      </c>
    </row>
    <row r="2"/>
    <row r="3">
      <c r="A3" s="13" t="inlineStr">
        <is>
          <t>OrderMonth</t>
        </is>
      </c>
      <c r="B3" s="13" t="inlineStr">
        <is>
          <t>Revenue</t>
        </is>
      </c>
      <c r="C3" s="13" t="inlineStr">
        <is>
          <t>Cost</t>
        </is>
      </c>
      <c r="D3" s="13" t="inlineStr">
        <is>
          <t>GrossProfit</t>
        </is>
      </c>
      <c r="E3" s="13" t="inlineStr">
        <is>
          <t>GrossMarginPct</t>
        </is>
      </c>
      <c r="F3" s="13" t="inlineStr">
        <is>
          <t>SalesLines</t>
        </is>
      </c>
    </row>
    <row r="4">
      <c r="A4" s="14" t="inlineStr">
        <is>
          <t>2011-05</t>
        </is>
      </c>
      <c r="B4" s="15" t="n">
        <v>503805.9169</v>
      </c>
      <c r="C4" s="15" t="n">
        <v>480616.0464</v>
      </c>
      <c r="D4" s="15" t="n">
        <v>23189.8705</v>
      </c>
      <c r="E4" s="16" t="n">
        <v>0.04602937306233135</v>
      </c>
      <c r="F4" s="17" t="n">
        <v>357</v>
      </c>
    </row>
    <row r="5">
      <c r="A5" s="14" t="inlineStr">
        <is>
          <t>2011-06</t>
        </is>
      </c>
      <c r="B5" s="15" t="n">
        <v>458910.8248</v>
      </c>
      <c r="C5" s="15" t="n">
        <v>274099.7172</v>
      </c>
      <c r="D5" s="15" t="n">
        <v>184811.1076</v>
      </c>
      <c r="E5" s="16" t="n">
        <v>0.4027168190694638</v>
      </c>
      <c r="F5" s="17" t="n">
        <v>141</v>
      </c>
    </row>
    <row r="6">
      <c r="A6" s="14" t="inlineStr">
        <is>
          <t>2011-07</t>
        </is>
      </c>
      <c r="B6" s="15" t="n">
        <v>2044600.003338</v>
      </c>
      <c r="C6" s="15" t="n">
        <v>1771778.7539</v>
      </c>
      <c r="D6" s="15" t="n">
        <v>272821.249438</v>
      </c>
      <c r="E6" s="16" t="n">
        <v>0.1334350234728524</v>
      </c>
      <c r="F6" s="17" t="n">
        <v>941</v>
      </c>
    </row>
    <row r="7">
      <c r="A7" s="14" t="inlineStr">
        <is>
          <t>2011-08</t>
        </is>
      </c>
      <c r="B7" s="15" t="n">
        <v>2495816.733446</v>
      </c>
      <c r="C7" s="15" t="n">
        <v>2217734.0941</v>
      </c>
      <c r="D7" s="15" t="n">
        <v>278082.639346</v>
      </c>
      <c r="E7" s="16" t="n">
        <v>0.1114194947166848</v>
      </c>
      <c r="F7" s="17" t="n">
        <v>1242</v>
      </c>
    </row>
    <row r="8">
      <c r="A8" s="14" t="inlineStr">
        <is>
          <t>2011-09</t>
        </is>
      </c>
      <c r="B8" s="15" t="n">
        <v>502073.8458</v>
      </c>
      <c r="C8" s="15" t="n">
        <v>300539.8444999999</v>
      </c>
      <c r="D8" s="15" t="n">
        <v>201534.0013</v>
      </c>
      <c r="E8" s="16" t="n">
        <v>0.4014031063077536</v>
      </c>
      <c r="F8" s="17" t="n">
        <v>157</v>
      </c>
    </row>
    <row r="9">
      <c r="A9" s="14" t="inlineStr">
        <is>
          <t>2011-10</t>
        </is>
      </c>
      <c r="B9" s="15" t="n">
        <v>4588761.81613</v>
      </c>
      <c r="C9" s="15" t="n">
        <v>4204792.7604</v>
      </c>
      <c r="D9" s="15" t="n">
        <v>383969.0557300001</v>
      </c>
      <c r="E9" s="16" t="n">
        <v>0.08367596121034367</v>
      </c>
      <c r="F9" s="17" t="n">
        <v>2083</v>
      </c>
    </row>
    <row r="10">
      <c r="A10" s="14" t="inlineStr">
        <is>
          <t>2011-11</t>
        </is>
      </c>
      <c r="B10" s="15" t="n">
        <v>737839.8214</v>
      </c>
      <c r="C10" s="15" t="n">
        <v>441714.8002999999</v>
      </c>
      <c r="D10" s="15" t="n">
        <v>296125.0211</v>
      </c>
      <c r="E10" s="16" t="n">
        <v>0.4013405247471237</v>
      </c>
      <c r="F10" s="17" t="n">
        <v>230</v>
      </c>
    </row>
    <row r="11">
      <c r="A11" s="14" t="inlineStr">
        <is>
          <t>2011-12</t>
        </is>
      </c>
      <c r="B11" s="15" t="n">
        <v>1309863.25114</v>
      </c>
      <c r="C11" s="15" t="n">
        <v>1046855.0401</v>
      </c>
      <c r="D11" s="15" t="n">
        <v>263008.21104</v>
      </c>
      <c r="E11" s="16" t="n">
        <v>0.2007905869647833</v>
      </c>
      <c r="F11" s="17" t="n">
        <v>565</v>
      </c>
    </row>
    <row r="12">
      <c r="A12" s="14" t="inlineStr">
        <is>
          <t>2012-01</t>
        </is>
      </c>
      <c r="B12" s="15" t="n">
        <v>3970627.278958</v>
      </c>
      <c r="C12" s="15" t="n">
        <v>3596729.0213</v>
      </c>
      <c r="D12" s="15" t="n">
        <v>373898.2576580001</v>
      </c>
      <c r="E12" s="16" t="n">
        <v>0.09416604264002365</v>
      </c>
      <c r="F12" s="17" t="n">
        <v>1712</v>
      </c>
    </row>
    <row r="13">
      <c r="A13" s="14" t="inlineStr">
        <is>
          <t>2012-02</t>
        </is>
      </c>
      <c r="B13" s="15" t="n">
        <v>1475426.90998</v>
      </c>
      <c r="C13" s="15" t="n">
        <v>1208578.5957</v>
      </c>
      <c r="D13" s="15" t="n">
        <v>266848.31428</v>
      </c>
      <c r="E13" s="16" t="n">
        <v>0.1808617644662705</v>
      </c>
      <c r="F13" s="17" t="n">
        <v>676</v>
      </c>
    </row>
    <row r="14">
      <c r="A14" s="14" t="inlineStr">
        <is>
          <t>2012-03</t>
        </is>
      </c>
      <c r="B14" s="15" t="n">
        <v>2975748.238428</v>
      </c>
      <c r="C14" s="15" t="n">
        <v>2604193.1578</v>
      </c>
      <c r="D14" s="15" t="n">
        <v>371555.0806280001</v>
      </c>
      <c r="E14" s="16" t="n">
        <v>0.1248610604317392</v>
      </c>
      <c r="F14" s="17" t="n">
        <v>1331</v>
      </c>
    </row>
    <row r="15">
      <c r="A15" s="14" t="inlineStr">
        <is>
          <t>2012-04</t>
        </is>
      </c>
      <c r="B15" s="15" t="n">
        <v>1634600.798332</v>
      </c>
      <c r="C15" s="15" t="n">
        <v>1983927.4364</v>
      </c>
      <c r="D15" s="15" t="n">
        <v>-349326.6380679999</v>
      </c>
      <c r="E15" s="16" t="n">
        <v>-0.2137076149873806</v>
      </c>
      <c r="F15" s="17" t="n">
        <v>1020</v>
      </c>
    </row>
    <row r="16">
      <c r="A16" s="14" t="inlineStr">
        <is>
          <t>2012-05</t>
        </is>
      </c>
      <c r="B16" s="15" t="n">
        <v>3074602.813538</v>
      </c>
      <c r="C16" s="15" t="n">
        <v>2743844.0524</v>
      </c>
      <c r="D16" s="15" t="n">
        <v>330758.7611380001</v>
      </c>
      <c r="E16" s="16" t="n">
        <v>0.1075777201795344</v>
      </c>
      <c r="F16" s="17" t="n">
        <v>1944</v>
      </c>
    </row>
    <row r="17">
      <c r="A17" s="14" t="inlineStr">
        <is>
          <t>2012-06</t>
        </is>
      </c>
      <c r="B17" s="15" t="n">
        <v>4099354.356751</v>
      </c>
      <c r="C17" s="15" t="n">
        <v>3765952.6707</v>
      </c>
      <c r="D17" s="15" t="n">
        <v>333401.686051</v>
      </c>
      <c r="E17" s="16" t="n">
        <v>0.08133029180605947</v>
      </c>
      <c r="F17" s="17" t="n">
        <v>3215</v>
      </c>
    </row>
    <row r="18">
      <c r="A18" s="14" t="inlineStr">
        <is>
          <t>2012-07</t>
        </is>
      </c>
      <c r="B18" s="15" t="n">
        <v>3417953.869571</v>
      </c>
      <c r="C18" s="15" t="n">
        <v>3052474.7259</v>
      </c>
      <c r="D18" s="15" t="n">
        <v>365479.143671</v>
      </c>
      <c r="E18" s="16" t="n">
        <v>0.1069292207026986</v>
      </c>
      <c r="F18" s="17" t="n">
        <v>2459</v>
      </c>
    </row>
    <row r="19">
      <c r="A19" s="14" t="inlineStr">
        <is>
          <t>2012-08</t>
        </is>
      </c>
      <c r="B19" s="15" t="n">
        <v>2175637.217725</v>
      </c>
      <c r="C19" s="15" t="n">
        <v>1946116.2257</v>
      </c>
      <c r="D19" s="15" t="n">
        <v>229520.992025</v>
      </c>
      <c r="E19" s="16" t="n">
        <v>0.105495985339414</v>
      </c>
      <c r="F19" s="17" t="n">
        <v>1618</v>
      </c>
    </row>
    <row r="20">
      <c r="A20" s="14" t="inlineStr">
        <is>
          <t>2012-09</t>
        </is>
      </c>
      <c r="B20" s="15" t="n">
        <v>3454151.940485</v>
      </c>
      <c r="C20" s="15" t="n">
        <v>3154193.6597</v>
      </c>
      <c r="D20" s="15" t="n">
        <v>299958.2807850001</v>
      </c>
      <c r="E20" s="16" t="n">
        <v>0.08683992075429163</v>
      </c>
      <c r="F20" s="17" t="n">
        <v>2564</v>
      </c>
    </row>
    <row r="21">
      <c r="A21" s="14" t="inlineStr">
        <is>
          <t>2012-10</t>
        </is>
      </c>
      <c r="B21" s="15" t="n">
        <v>2544091.105517</v>
      </c>
      <c r="C21" s="15" t="n">
        <v>2286099.2257</v>
      </c>
      <c r="D21" s="15" t="n">
        <v>257991.879817</v>
      </c>
      <c r="E21" s="16" t="n">
        <v>0.1014082708192056</v>
      </c>
      <c r="F21" s="17" t="n">
        <v>1939</v>
      </c>
    </row>
    <row r="22">
      <c r="A22" s="14" t="inlineStr">
        <is>
          <t>2012-11</t>
        </is>
      </c>
      <c r="B22" s="15" t="n">
        <v>1872701.976206</v>
      </c>
      <c r="C22" s="15" t="n">
        <v>1590405.5297</v>
      </c>
      <c r="D22" s="15" t="n">
        <v>282296.446506</v>
      </c>
      <c r="E22" s="16" t="n">
        <v>0.1507428571618846</v>
      </c>
      <c r="F22" s="17" t="n">
        <v>1301</v>
      </c>
    </row>
    <row r="23">
      <c r="A23" s="14" t="inlineStr">
        <is>
          <t>2012-12</t>
        </is>
      </c>
      <c r="B23" s="15" t="n">
        <v>2829404.818943</v>
      </c>
      <c r="C23" s="15" t="n">
        <v>2566285.7094</v>
      </c>
      <c r="D23" s="15" t="n">
        <v>263119.1095430001</v>
      </c>
      <c r="E23" s="16" t="n">
        <v>0.09299450816701983</v>
      </c>
      <c r="F23" s="17" t="n">
        <v>1910</v>
      </c>
    </row>
    <row r="24">
      <c r="A24" s="14" t="inlineStr">
        <is>
          <t>2013-01</t>
        </is>
      </c>
      <c r="B24" s="15" t="n">
        <v>2087872.462504</v>
      </c>
      <c r="C24" s="15" t="n">
        <v>1801546.0314</v>
      </c>
      <c r="D24" s="15" t="n">
        <v>286326.431104</v>
      </c>
      <c r="E24" s="16" t="n">
        <v>0.1371378933560945</v>
      </c>
      <c r="F24" s="17" t="n">
        <v>1509</v>
      </c>
    </row>
    <row r="25">
      <c r="A25" s="14" t="inlineStr">
        <is>
          <t>2013-02</t>
        </is>
      </c>
      <c r="B25" s="15" t="n">
        <v>2316922.15148</v>
      </c>
      <c r="C25" s="15" t="n">
        <v>2044898.876</v>
      </c>
      <c r="D25" s="15" t="n">
        <v>272023.27548</v>
      </c>
      <c r="E25" s="16" t="n">
        <v>0.1174071711068226</v>
      </c>
      <c r="F25" s="17" t="n">
        <v>1700</v>
      </c>
    </row>
    <row r="26">
      <c r="A26" s="14" t="inlineStr">
        <is>
          <t>2013-03</t>
        </is>
      </c>
      <c r="B26" s="15" t="n">
        <v>3412068.967535</v>
      </c>
      <c r="C26" s="15" t="n">
        <v>3072581.0164</v>
      </c>
      <c r="D26" s="15" t="n">
        <v>339487.951135</v>
      </c>
      <c r="E26" s="16" t="n">
        <v>0.0994962160393429</v>
      </c>
      <c r="F26" s="17" t="n">
        <v>2613</v>
      </c>
    </row>
    <row r="27">
      <c r="A27" s="14" t="inlineStr">
        <is>
          <t>2013-04</t>
        </is>
      </c>
      <c r="B27" s="15" t="n">
        <v>2532265.912399</v>
      </c>
      <c r="C27" s="15" t="n">
        <v>2202225.7162</v>
      </c>
      <c r="D27" s="15" t="n">
        <v>330040.1961990001</v>
      </c>
      <c r="E27" s="16" t="n">
        <v>0.1303339410695336</v>
      </c>
      <c r="F27" s="17" t="n">
        <v>2024</v>
      </c>
    </row>
    <row r="28">
      <c r="A28" s="14" t="inlineStr">
        <is>
          <t>2013-05</t>
        </is>
      </c>
      <c r="B28" s="15" t="n">
        <v>3245623.754479</v>
      </c>
      <c r="C28" s="15" t="n">
        <v>3182290.8688</v>
      </c>
      <c r="D28" s="15" t="n">
        <v>63332.8856790001</v>
      </c>
      <c r="E28" s="16" t="n">
        <v>0.0195133171525504</v>
      </c>
      <c r="F28" s="17" t="n">
        <v>2572</v>
      </c>
    </row>
    <row r="29">
      <c r="A29" s="14" t="inlineStr">
        <is>
          <t>2013-06</t>
        </is>
      </c>
      <c r="B29" s="15" t="n">
        <v>5081069.131596</v>
      </c>
      <c r="C29" s="15" t="n">
        <v>4978922.112</v>
      </c>
      <c r="D29" s="15" t="n">
        <v>102147.0195960001</v>
      </c>
      <c r="E29" s="16" t="n">
        <v>0.02010345007132682</v>
      </c>
      <c r="F29" s="17" t="n">
        <v>5210</v>
      </c>
    </row>
    <row r="30">
      <c r="A30" s="14" t="inlineStr">
        <is>
          <t>2013-07</t>
        </is>
      </c>
      <c r="B30" s="15" t="n">
        <v>4896353.737794</v>
      </c>
      <c r="C30" s="15" t="n">
        <v>4820530.4792</v>
      </c>
      <c r="D30" s="15" t="n">
        <v>75823.25859400012</v>
      </c>
      <c r="E30" s="16" t="n">
        <v>0.0154856578291587</v>
      </c>
      <c r="F30" s="17" t="n">
        <v>7561</v>
      </c>
    </row>
    <row r="31">
      <c r="A31" s="14" t="inlineStr">
        <is>
          <t>2013-08</t>
        </is>
      </c>
      <c r="B31" s="15" t="n">
        <v>3333964.067555</v>
      </c>
      <c r="C31" s="15" t="n">
        <v>2899123.9669</v>
      </c>
      <c r="D31" s="15" t="n">
        <v>434840.1006550001</v>
      </c>
      <c r="E31" s="16" t="n">
        <v>0.130427350698442</v>
      </c>
      <c r="F31" s="17" t="n">
        <v>5900</v>
      </c>
    </row>
    <row r="32">
      <c r="A32" s="14" t="inlineStr">
        <is>
          <t>2013-09</t>
        </is>
      </c>
      <c r="B32" s="15" t="n">
        <v>4532908.705303</v>
      </c>
      <c r="C32" s="15" t="n">
        <v>4076136.3363</v>
      </c>
      <c r="D32" s="15" t="n">
        <v>456772.3690030001</v>
      </c>
      <c r="E32" s="16" t="n">
        <v>0.1007680495458969</v>
      </c>
      <c r="F32" s="17" t="n">
        <v>6890</v>
      </c>
    </row>
    <row r="33">
      <c r="A33" s="14" t="inlineStr">
        <is>
          <t>2013-10</t>
        </is>
      </c>
      <c r="B33" s="15" t="n">
        <v>4795813.289802</v>
      </c>
      <c r="C33" s="15" t="n">
        <v>4233302.6729</v>
      </c>
      <c r="D33" s="15" t="n">
        <v>562510.6169020002</v>
      </c>
      <c r="E33" s="16" t="n">
        <v>0.1172920176225676</v>
      </c>
      <c r="F33" s="17" t="n">
        <v>7431</v>
      </c>
    </row>
    <row r="34">
      <c r="A34" s="14" t="inlineStr">
        <is>
          <t>2013-11</t>
        </is>
      </c>
      <c r="B34" s="15" t="n">
        <v>3312130.245587</v>
      </c>
      <c r="C34" s="15" t="n">
        <v>2629991.7129</v>
      </c>
      <c r="D34" s="15" t="n">
        <v>682138.5326870001</v>
      </c>
      <c r="E34" s="16" t="n">
        <v>0.2059516027776579</v>
      </c>
      <c r="F34" s="17" t="n">
        <v>6410</v>
      </c>
    </row>
    <row r="35">
      <c r="A35" s="14" t="inlineStr">
        <is>
          <t>2013-12</t>
        </is>
      </c>
      <c r="B35" s="15" t="n">
        <v>4075486.625601</v>
      </c>
      <c r="C35" s="15" t="n">
        <v>3494684.7969</v>
      </c>
      <c r="D35" s="15" t="n">
        <v>580801.8287010001</v>
      </c>
      <c r="E35" s="16" t="n">
        <v>0.1425110378359666</v>
      </c>
      <c r="F35" s="17" t="n">
        <v>6753</v>
      </c>
    </row>
    <row r="36">
      <c r="A36" s="14" t="inlineStr">
        <is>
          <t>2014-01</t>
        </is>
      </c>
      <c r="B36" s="15" t="n">
        <v>4289817.950953</v>
      </c>
      <c r="C36" s="15" t="n">
        <v>3642349.1304</v>
      </c>
      <c r="D36" s="15" t="n">
        <v>647468.8205530001</v>
      </c>
      <c r="E36" s="16" t="n">
        <v>0.1509315378777699</v>
      </c>
      <c r="F36" s="17" t="n">
        <v>7045</v>
      </c>
    </row>
    <row r="37">
      <c r="A37" s="14" t="inlineStr">
        <is>
          <t>2014-02</t>
        </is>
      </c>
      <c r="B37" s="15" t="n">
        <v>1337725.0356</v>
      </c>
      <c r="C37" s="15" t="n">
        <v>784695.0782</v>
      </c>
      <c r="D37" s="15" t="n">
        <v>553029.9574</v>
      </c>
      <c r="E37" s="16" t="n">
        <v>0.4134107852380541</v>
      </c>
      <c r="F37" s="17" t="n">
        <v>4281</v>
      </c>
    </row>
    <row r="38">
      <c r="A38" s="14" t="inlineStr">
        <is>
          <t>2014-03</t>
        </is>
      </c>
      <c r="B38" s="15" t="n">
        <v>7217531.091974</v>
      </c>
      <c r="C38" s="15" t="n">
        <v>6541865.9403</v>
      </c>
      <c r="D38" s="15" t="n">
        <v>675665.1516740002</v>
      </c>
      <c r="E38" s="16" t="n">
        <v>0.09361444281484978</v>
      </c>
      <c r="F38" s="17" t="n">
        <v>9955</v>
      </c>
    </row>
    <row r="39">
      <c r="A39" s="14" t="inlineStr">
        <is>
          <t>2014-04</t>
        </is>
      </c>
      <c r="B39" s="15" t="n">
        <v>1797173.923</v>
      </c>
      <c r="C39" s="15" t="n">
        <v>1050683.7491</v>
      </c>
      <c r="D39" s="15" t="n">
        <v>746490.1738999999</v>
      </c>
      <c r="E39" s="16" t="n">
        <v>0.4153689102354063</v>
      </c>
      <c r="F39" s="17" t="n">
        <v>5302</v>
      </c>
    </row>
    <row r="40">
      <c r="A40" s="14" t="inlineStr">
        <is>
          <t>2014-05</t>
        </is>
      </c>
      <c r="B40" s="15" t="n">
        <v>5366674.969338</v>
      </c>
      <c r="C40" s="15" t="n">
        <v>4574201.4111</v>
      </c>
      <c r="D40" s="15" t="n">
        <v>792473.5582380001</v>
      </c>
      <c r="E40" s="16" t="n">
        <v>0.1476656519662033</v>
      </c>
      <c r="F40" s="17" t="n">
        <v>8626</v>
      </c>
    </row>
    <row r="41">
      <c r="A41" s="14" t="inlineStr">
        <is>
          <t>2014-06</t>
        </is>
      </c>
      <c r="B41" s="15" t="n">
        <v>49005.84</v>
      </c>
      <c r="C41" s="15" t="n">
        <v>21639.8385</v>
      </c>
      <c r="D41" s="15" t="n">
        <v>27366.0015</v>
      </c>
      <c r="E41" s="16" t="n">
        <v>0.5584232715937528</v>
      </c>
      <c r="F41" s="17" t="n">
        <v>2130</v>
      </c>
    </row>
  </sheetData>
  <autoFilter ref="A3:F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7" customWidth="1" min="2" max="2"/>
    <col width="15" customWidth="1" min="3" max="3"/>
    <col width="19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Category Performance</t>
        </is>
      </c>
    </row>
    <row r="2"/>
    <row r="3">
      <c r="A3" s="13" t="inlineStr">
        <is>
          <t>ProductCategory</t>
        </is>
      </c>
      <c r="B3" s="13" t="inlineStr">
        <is>
          <t>Revenue</t>
        </is>
      </c>
      <c r="C3" s="13" t="inlineStr">
        <is>
          <t>Cost</t>
        </is>
      </c>
      <c r="D3" s="13" t="inlineStr">
        <is>
          <t>GrossProfit</t>
        </is>
      </c>
      <c r="E3" s="13" t="inlineStr">
        <is>
          <t>GrossMarginPct</t>
        </is>
      </c>
      <c r="F3" s="13" t="inlineStr">
        <is>
          <t>UnitsSold</t>
        </is>
      </c>
      <c r="G3" s="13" t="inlineStr">
        <is>
          <t>SalesLines</t>
        </is>
      </c>
      <c r="H3" s="13" t="inlineStr">
        <is>
          <t>Products</t>
        </is>
      </c>
    </row>
    <row r="4">
      <c r="A4" s="14" t="inlineStr">
        <is>
          <t>Bikes</t>
        </is>
      </c>
      <c r="B4" s="15" t="n">
        <v>94651172.704731</v>
      </c>
      <c r="C4" s="15" t="n">
        <v>84131887.7555</v>
      </c>
      <c r="D4" s="15" t="n">
        <v>10519284.949231</v>
      </c>
      <c r="E4" s="16" t="n">
        <v>0.1111373969136804</v>
      </c>
      <c r="F4" s="17" t="n">
        <v>90268</v>
      </c>
      <c r="G4" s="17" t="n">
        <v>40031</v>
      </c>
      <c r="H4" s="17" t="n">
        <v>97</v>
      </c>
    </row>
    <row r="5">
      <c r="A5" s="14" t="inlineStr">
        <is>
          <t>Components</t>
        </is>
      </c>
      <c r="B5" s="15" t="n">
        <v>11802593.28643</v>
      </c>
      <c r="C5" s="15" t="n">
        <v>10768475.7137</v>
      </c>
      <c r="D5" s="15" t="n">
        <v>1034117.57273</v>
      </c>
      <c r="E5" s="16" t="n">
        <v>0.08761782666178747</v>
      </c>
      <c r="F5" s="17" t="n">
        <v>49044</v>
      </c>
      <c r="G5" s="17" t="n">
        <v>18698</v>
      </c>
      <c r="H5" s="17" t="n">
        <v>111</v>
      </c>
    </row>
    <row r="6">
      <c r="A6" s="14" t="inlineStr">
        <is>
          <t>Clothing</t>
        </is>
      </c>
      <c r="B6" s="15" t="n">
        <v>2120542.524801</v>
      </c>
      <c r="C6" s="15" t="n">
        <v>1750636.2931</v>
      </c>
      <c r="D6" s="15" t="n">
        <v>369906.2317010001</v>
      </c>
      <c r="E6" s="16" t="n">
        <v>0.1744394311242183</v>
      </c>
      <c r="F6" s="17" t="n">
        <v>73670</v>
      </c>
      <c r="G6" s="17" t="n">
        <v>21394</v>
      </c>
      <c r="H6" s="17" t="n">
        <v>34</v>
      </c>
    </row>
    <row r="7">
      <c r="A7" s="14" t="inlineStr">
        <is>
          <t>Accessories</t>
        </is>
      </c>
      <c r="B7" s="15" t="n">
        <v>1272072.883926</v>
      </c>
      <c r="C7" s="15" t="n">
        <v>637601.0385</v>
      </c>
      <c r="D7" s="15" t="n">
        <v>634471.845426</v>
      </c>
      <c r="E7" s="16" t="n">
        <v>0.4987700417509323</v>
      </c>
      <c r="F7" s="17" t="n">
        <v>61932</v>
      </c>
      <c r="G7" s="17" t="n">
        <v>41194</v>
      </c>
      <c r="H7" s="17" t="n">
        <v>24</v>
      </c>
    </row>
  </sheetData>
  <autoFilter ref="A3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5" customWidth="1" min="2" max="2"/>
    <col width="16" customWidth="1" min="3" max="3"/>
    <col width="14" customWidth="1" min="4" max="4"/>
    <col width="19" customWidth="1" min="5" max="5"/>
    <col width="21" customWidth="1" min="6" max="6"/>
    <col width="12" customWidth="1" min="7" max="7"/>
    <col width="12" customWidth="1" min="8" max="8"/>
  </cols>
  <sheetData>
    <row r="1">
      <c r="A1" s="4" t="inlineStr">
        <is>
          <t>Top 15 Products by Revenue</t>
        </is>
      </c>
    </row>
    <row r="2"/>
    <row r="3">
      <c r="A3" s="13" t="inlineStr">
        <is>
          <t>ProductID</t>
        </is>
      </c>
      <c r="B3" s="13" t="inlineStr">
        <is>
          <t>ProductName</t>
        </is>
      </c>
      <c r="C3" s="13" t="inlineStr">
        <is>
          <t>Revenue</t>
        </is>
      </c>
      <c r="D3" s="13" t="inlineStr">
        <is>
          <t>Cost</t>
        </is>
      </c>
      <c r="E3" s="13" t="inlineStr">
        <is>
          <t>GrossProfit</t>
        </is>
      </c>
      <c r="F3" s="13" t="inlineStr">
        <is>
          <t>GrossMarginPct</t>
        </is>
      </c>
      <c r="G3" s="13" t="inlineStr">
        <is>
          <t>UnitsSold</t>
        </is>
      </c>
      <c r="H3" s="13" t="inlineStr">
        <is>
          <t>SalesLines</t>
        </is>
      </c>
    </row>
    <row r="4">
      <c r="A4" s="17" t="n">
        <v>782</v>
      </c>
      <c r="B4" s="14" t="inlineStr">
        <is>
          <t>Mountain-200 Black, 38</t>
        </is>
      </c>
      <c r="C4" s="15" t="n">
        <v>4400592.8004</v>
      </c>
      <c r="D4" s="15" t="n">
        <v>3527770.6769</v>
      </c>
      <c r="E4" s="15" t="n">
        <v>872822.1235000001</v>
      </c>
      <c r="F4" s="16" t="n">
        <v>0.1983419423448276</v>
      </c>
      <c r="G4" s="17" t="n">
        <v>2977</v>
      </c>
      <c r="H4" s="17" t="n">
        <v>1252</v>
      </c>
    </row>
    <row r="5">
      <c r="A5" s="17" t="n">
        <v>783</v>
      </c>
      <c r="B5" s="14" t="inlineStr">
        <is>
          <t>Mountain-200 Black, 42</t>
        </is>
      </c>
      <c r="C5" s="15" t="n">
        <v>4009494.761841</v>
      </c>
      <c r="D5" s="15" t="n">
        <v>3145694.0071</v>
      </c>
      <c r="E5" s="15" t="n">
        <v>863800.7547410001</v>
      </c>
      <c r="F5" s="16" t="n">
        <v>0.215438803652253</v>
      </c>
      <c r="G5" s="17" t="n">
        <v>2664</v>
      </c>
      <c r="H5" s="17" t="n">
        <v>1177</v>
      </c>
    </row>
    <row r="6">
      <c r="A6" s="17" t="n">
        <v>779</v>
      </c>
      <c r="B6" s="14" t="inlineStr">
        <is>
          <t>Mountain-200 Silver, 38</t>
        </is>
      </c>
      <c r="C6" s="15" t="n">
        <v>3693678.025272</v>
      </c>
      <c r="D6" s="15" t="n">
        <v>2864545.6146</v>
      </c>
      <c r="E6" s="15" t="n">
        <v>829132.4106719998</v>
      </c>
      <c r="F6" s="16" t="n">
        <v>0.2244733853354592</v>
      </c>
      <c r="G6" s="17" t="n">
        <v>2394</v>
      </c>
      <c r="H6" s="17" t="n">
        <v>1094</v>
      </c>
    </row>
    <row r="7">
      <c r="A7" s="17" t="n">
        <v>780</v>
      </c>
      <c r="B7" s="14" t="inlineStr">
        <is>
          <t>Mountain-200 Silver, 42</t>
        </is>
      </c>
      <c r="C7" s="15" t="n">
        <v>3438478.860423</v>
      </c>
      <c r="D7" s="15" t="n">
        <v>2662489.7854</v>
      </c>
      <c r="E7" s="15" t="n">
        <v>775989.0750229999</v>
      </c>
      <c r="F7" s="16" t="n">
        <v>0.2256780124358648</v>
      </c>
      <c r="G7" s="17" t="n">
        <v>2234</v>
      </c>
      <c r="H7" s="17" t="n">
        <v>1040</v>
      </c>
    </row>
    <row r="8">
      <c r="A8" s="17" t="n">
        <v>781</v>
      </c>
      <c r="B8" s="14" t="inlineStr">
        <is>
          <t>Mountain-200 Silver, 46</t>
        </is>
      </c>
      <c r="C8" s="15" t="n">
        <v>3434256.941928</v>
      </c>
      <c r="D8" s="15" t="n">
        <v>2640299.6888</v>
      </c>
      <c r="E8" s="15" t="n">
        <v>793957.2531279998</v>
      </c>
      <c r="F8" s="16" t="n">
        <v>0.2311874931181679</v>
      </c>
      <c r="G8" s="17" t="n">
        <v>2216</v>
      </c>
      <c r="H8" s="17" t="n">
        <v>1054</v>
      </c>
    </row>
    <row r="9">
      <c r="A9" s="17" t="n">
        <v>784</v>
      </c>
      <c r="B9" s="14" t="inlineStr">
        <is>
          <t>Mountain-200 Black, 46</t>
        </is>
      </c>
      <c r="C9" s="15" t="n">
        <v>3309673.216908</v>
      </c>
      <c r="D9" s="15" t="n">
        <v>2501584.8772</v>
      </c>
      <c r="E9" s="15" t="n">
        <v>808088.3397080001</v>
      </c>
      <c r="F9" s="16" t="n">
        <v>0.2441595549614235</v>
      </c>
      <c r="G9" s="17" t="n">
        <v>2111</v>
      </c>
      <c r="H9" s="17" t="n">
        <v>1059</v>
      </c>
    </row>
    <row r="10">
      <c r="A10" s="17" t="n">
        <v>793</v>
      </c>
      <c r="B10" s="14" t="inlineStr">
        <is>
          <t>Road-250 Black, 44</t>
        </is>
      </c>
      <c r="C10" s="15" t="n">
        <v>2516857.314918</v>
      </c>
      <c r="D10" s="15" t="n">
        <v>2347774.8361</v>
      </c>
      <c r="E10" s="15" t="n">
        <v>169082.478818</v>
      </c>
      <c r="F10" s="16" t="n">
        <v>0.06718000174893062</v>
      </c>
      <c r="G10" s="17" t="n">
        <v>1642</v>
      </c>
      <c r="H10" s="17" t="n">
        <v>705</v>
      </c>
    </row>
    <row r="11">
      <c r="A11" s="17" t="n">
        <v>794</v>
      </c>
      <c r="B11" s="14" t="inlineStr">
        <is>
          <t>Road-250 Black, 48</t>
        </is>
      </c>
      <c r="C11" s="15" t="n">
        <v>2347655.953454</v>
      </c>
      <c r="D11" s="15" t="n">
        <v>2145414.6357</v>
      </c>
      <c r="E11" s="15" t="n">
        <v>202241.317754</v>
      </c>
      <c r="F11" s="16" t="n">
        <v>0.08614606303638808</v>
      </c>
      <c r="G11" s="17" t="n">
        <v>1498</v>
      </c>
      <c r="H11" s="17" t="n">
        <v>712</v>
      </c>
    </row>
    <row r="12">
      <c r="A12" s="17" t="n">
        <v>795</v>
      </c>
      <c r="B12" s="14" t="inlineStr">
        <is>
          <t>Road-250 Black, 52</t>
        </is>
      </c>
      <c r="C12" s="15" t="n">
        <v>2012447.775</v>
      </c>
      <c r="D12" s="15" t="n">
        <v>1777079.0757</v>
      </c>
      <c r="E12" s="15" t="n">
        <v>235368.6993</v>
      </c>
      <c r="F12" s="16" t="n">
        <v>0.1169564260120986</v>
      </c>
      <c r="G12" s="17" t="n">
        <v>1245</v>
      </c>
      <c r="H12" s="17" t="n">
        <v>667</v>
      </c>
    </row>
    <row r="13">
      <c r="A13" s="17" t="n">
        <v>753</v>
      </c>
      <c r="B13" s="14" t="inlineStr">
        <is>
          <t>Road-150 Red, 56</t>
        </is>
      </c>
      <c r="C13" s="15" t="n">
        <v>1847818.628</v>
      </c>
      <c r="D13" s="15" t="n">
        <v>1441739.3488</v>
      </c>
      <c r="E13" s="15" t="n">
        <v>406079.2792000001</v>
      </c>
      <c r="F13" s="16" t="n">
        <v>0.2197614381880775</v>
      </c>
      <c r="G13" s="17" t="n">
        <v>664</v>
      </c>
      <c r="H13" s="17" t="n">
        <v>475</v>
      </c>
    </row>
    <row r="14">
      <c r="A14" s="17" t="n">
        <v>976</v>
      </c>
      <c r="B14" s="14" t="inlineStr">
        <is>
          <t>Road-350-W Yellow, 48</t>
        </is>
      </c>
      <c r="C14" s="15" t="n">
        <v>1774883.557085</v>
      </c>
      <c r="D14" s="15" t="n">
        <v>1755831.22</v>
      </c>
      <c r="E14" s="15" t="n">
        <v>19052.3370850001</v>
      </c>
      <c r="F14" s="16" t="n">
        <v>0.01073441522907053</v>
      </c>
      <c r="G14" s="17" t="n">
        <v>1622</v>
      </c>
      <c r="H14" s="17" t="n">
        <v>566</v>
      </c>
    </row>
    <row r="15">
      <c r="A15" s="17" t="n">
        <v>749</v>
      </c>
      <c r="B15" s="14" t="inlineStr">
        <is>
          <t>Road-150 Red, 62</t>
        </is>
      </c>
      <c r="C15" s="15" t="n">
        <v>1769096.688</v>
      </c>
      <c r="D15" s="15" t="n">
        <v>1302776.52</v>
      </c>
      <c r="E15" s="15" t="n">
        <v>466320.1680000001</v>
      </c>
      <c r="F15" s="16" t="n">
        <v>0.2635922452193298</v>
      </c>
      <c r="G15" s="17" t="n">
        <v>600</v>
      </c>
      <c r="H15" s="17" t="n">
        <v>470</v>
      </c>
    </row>
    <row r="16">
      <c r="A16" s="17" t="n">
        <v>969</v>
      </c>
      <c r="B16" s="14" t="inlineStr">
        <is>
          <t>Touring-1000 Blue, 60</t>
        </is>
      </c>
      <c r="C16" s="15" t="n">
        <v>1721242.514355</v>
      </c>
      <c r="D16" s="15" t="n">
        <v>1659770.448</v>
      </c>
      <c r="E16" s="15" t="n">
        <v>61472.06635500012</v>
      </c>
      <c r="F16" s="16" t="n">
        <v>0.03571377411511097</v>
      </c>
      <c r="G16" s="17" t="n">
        <v>1120</v>
      </c>
      <c r="H16" s="17" t="n">
        <v>439</v>
      </c>
    </row>
    <row r="17">
      <c r="A17" s="17" t="n">
        <v>973</v>
      </c>
      <c r="B17" s="14" t="inlineStr">
        <is>
          <t>Road-350-W Yellow, 40</t>
        </is>
      </c>
      <c r="C17" s="15" t="n">
        <v>1657198.182549</v>
      </c>
      <c r="D17" s="15" t="n">
        <v>1598867.27</v>
      </c>
      <c r="E17" s="15" t="n">
        <v>58330.91254900008</v>
      </c>
      <c r="F17" s="16" t="n">
        <v>0.03519851346884721</v>
      </c>
      <c r="G17" s="17" t="n">
        <v>1477</v>
      </c>
      <c r="H17" s="17" t="n">
        <v>573</v>
      </c>
    </row>
    <row r="18">
      <c r="A18" s="17" t="n">
        <v>792</v>
      </c>
      <c r="B18" s="14" t="inlineStr">
        <is>
          <t>Road-250 Red, 58</t>
        </is>
      </c>
      <c r="C18" s="15" t="n">
        <v>1587008.1825</v>
      </c>
      <c r="D18" s="15" t="n">
        <v>1350334.7019</v>
      </c>
      <c r="E18" s="15" t="n">
        <v>236673.4806</v>
      </c>
      <c r="F18" s="16" t="n">
        <v>0.1491318590602163</v>
      </c>
      <c r="G18" s="17" t="n">
        <v>946</v>
      </c>
      <c r="H18" s="17" t="n">
        <v>526</v>
      </c>
    </row>
  </sheetData>
  <autoFilter ref="A3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15" customWidth="1" min="2" max="2"/>
    <col width="12" customWidth="1" min="3" max="3"/>
    <col width="13" customWidth="1" min="4" max="4"/>
    <col width="19" customWidth="1" min="5" max="5"/>
    <col width="19" customWidth="1" min="6" max="6"/>
    <col width="20" customWidth="1" min="7" max="7"/>
    <col width="23" customWidth="1" min="8" max="8"/>
    <col width="12" customWidth="1" min="9" max="9"/>
    <col width="12" customWidth="1" min="10" max="10"/>
    <col width="19" customWidth="1" min="11" max="11"/>
  </cols>
  <sheetData>
    <row r="1">
      <c r="A1" s="4" t="inlineStr">
        <is>
          <t>Top 15 Customers by Revenue</t>
        </is>
      </c>
    </row>
    <row r="2"/>
    <row r="3">
      <c r="A3" s="13" t="inlineStr">
        <is>
          <t>CustomerID</t>
        </is>
      </c>
      <c r="B3" s="13" t="inlineStr">
        <is>
          <t>AccountNumber</t>
        </is>
      </c>
      <c r="C3" s="13" t="inlineStr">
        <is>
          <t>FirstName</t>
        </is>
      </c>
      <c r="D3" s="13" t="inlineStr">
        <is>
          <t>LastName</t>
        </is>
      </c>
      <c r="E3" s="13" t="inlineStr">
        <is>
          <t>Revenue</t>
        </is>
      </c>
      <c r="F3" s="13" t="inlineStr">
        <is>
          <t>Cost</t>
        </is>
      </c>
      <c r="G3" s="13" t="inlineStr">
        <is>
          <t>GrossProfit</t>
        </is>
      </c>
      <c r="H3" s="13" t="inlineStr">
        <is>
          <t>GrossMarginPct</t>
        </is>
      </c>
      <c r="I3" s="13" t="inlineStr">
        <is>
          <t>UnitsSold</t>
        </is>
      </c>
      <c r="J3" s="13" t="inlineStr">
        <is>
          <t>SalesLines</t>
        </is>
      </c>
      <c r="K3" s="13" t="inlineStr">
        <is>
          <t>ProductsPurchased</t>
        </is>
      </c>
    </row>
    <row r="4">
      <c r="A4" s="17" t="n">
        <v>29818</v>
      </c>
      <c r="B4" s="14" t="inlineStr">
        <is>
          <t>AW00029818</t>
        </is>
      </c>
      <c r="C4" s="14" t="inlineStr">
        <is>
          <t>Roger</t>
        </is>
      </c>
      <c r="D4" s="14" t="inlineStr">
        <is>
          <t>Harui</t>
        </is>
      </c>
      <c r="E4" s="15" t="n">
        <v>877107.192221</v>
      </c>
      <c r="F4" s="15" t="n">
        <v>814369.5564</v>
      </c>
      <c r="G4" s="15" t="n">
        <v>62737.63582100001</v>
      </c>
      <c r="H4" s="16" t="n">
        <v>0.07152790032668248</v>
      </c>
      <c r="I4" s="17" t="n">
        <v>1558</v>
      </c>
      <c r="J4" s="17" t="n">
        <v>298</v>
      </c>
      <c r="K4" s="17" t="n">
        <v>81</v>
      </c>
    </row>
    <row r="5">
      <c r="A5" s="17" t="n">
        <v>29715</v>
      </c>
      <c r="B5" s="14" t="inlineStr">
        <is>
          <t>AW00029715</t>
        </is>
      </c>
      <c r="C5" s="14" t="inlineStr">
        <is>
          <t>Andrew</t>
        </is>
      </c>
      <c r="D5" s="14" t="inlineStr">
        <is>
          <t>Dixon</t>
        </is>
      </c>
      <c r="E5" s="15" t="n">
        <v>853849.179524</v>
      </c>
      <c r="F5" s="15" t="n">
        <v>873278.1599</v>
      </c>
      <c r="G5" s="15" t="n">
        <v>-19428.98037599997</v>
      </c>
      <c r="H5" s="16" t="n">
        <v>-0.0227545810687915</v>
      </c>
      <c r="I5" s="17" t="n">
        <v>1322</v>
      </c>
      <c r="J5" s="17" t="n">
        <v>366</v>
      </c>
      <c r="K5" s="17" t="n">
        <v>82</v>
      </c>
    </row>
    <row r="6">
      <c r="A6" s="17" t="n">
        <v>29722</v>
      </c>
      <c r="B6" s="14" t="inlineStr">
        <is>
          <t>AW00029722</t>
        </is>
      </c>
      <c r="C6" s="14" t="inlineStr">
        <is>
          <t>Reuben</t>
        </is>
      </c>
      <c r="D6" s="14" t="inlineStr">
        <is>
          <t>D'sa</t>
        </is>
      </c>
      <c r="E6" s="15" t="n">
        <v>841908.770707</v>
      </c>
      <c r="F6" s="15" t="n">
        <v>839778.52</v>
      </c>
      <c r="G6" s="15" t="n">
        <v>2130.250707000011</v>
      </c>
      <c r="H6" s="16" t="n">
        <v>0.002530263112963076</v>
      </c>
      <c r="I6" s="17" t="n">
        <v>2737</v>
      </c>
      <c r="J6" s="17" t="n">
        <v>530</v>
      </c>
      <c r="K6" s="17" t="n">
        <v>118</v>
      </c>
    </row>
    <row r="7">
      <c r="A7" s="17" t="n">
        <v>30117</v>
      </c>
      <c r="B7" s="14" t="inlineStr">
        <is>
          <t>AW00030117</t>
        </is>
      </c>
      <c r="C7" s="14" t="inlineStr">
        <is>
          <t>Robert</t>
        </is>
      </c>
      <c r="D7" s="14" t="inlineStr">
        <is>
          <t>Vessa</t>
        </is>
      </c>
      <c r="E7" s="15" t="n">
        <v>816755.576276</v>
      </c>
      <c r="F7" s="15" t="n">
        <v>835395.0987999999</v>
      </c>
      <c r="G7" s="15" t="n">
        <v>-18639.52252399997</v>
      </c>
      <c r="H7" s="16" t="n">
        <v>-0.02282142058825841</v>
      </c>
      <c r="I7" s="17" t="n">
        <v>1736</v>
      </c>
      <c r="J7" s="17" t="n">
        <v>436</v>
      </c>
      <c r="K7" s="17" t="n">
        <v>93</v>
      </c>
    </row>
    <row r="8">
      <c r="A8" s="17" t="n">
        <v>29614</v>
      </c>
      <c r="B8" s="14" t="inlineStr">
        <is>
          <t>AW00029614</t>
        </is>
      </c>
      <c r="C8" s="14" t="inlineStr">
        <is>
          <t>Ryan</t>
        </is>
      </c>
      <c r="D8" s="14" t="inlineStr">
        <is>
          <t>Calafato</t>
        </is>
      </c>
      <c r="E8" s="15" t="n">
        <v>799277.895062</v>
      </c>
      <c r="F8" s="15" t="n">
        <v>822271.3133</v>
      </c>
      <c r="G8" s="15" t="n">
        <v>-22993.41823799999</v>
      </c>
      <c r="H8" s="16" t="n">
        <v>-0.02876773945589523</v>
      </c>
      <c r="I8" s="17" t="n">
        <v>1931</v>
      </c>
      <c r="J8" s="17" t="n">
        <v>451</v>
      </c>
      <c r="K8" s="17" t="n">
        <v>91</v>
      </c>
    </row>
    <row r="9">
      <c r="A9" s="17" t="n">
        <v>29639</v>
      </c>
      <c r="B9" s="14" t="inlineStr">
        <is>
          <t>AW00029639</t>
        </is>
      </c>
      <c r="C9" s="14" t="inlineStr">
        <is>
          <t>Joseph</t>
        </is>
      </c>
      <c r="D9" s="14" t="inlineStr">
        <is>
          <t>Castellucio</t>
        </is>
      </c>
      <c r="E9" s="15" t="n">
        <v>787773.043768</v>
      </c>
      <c r="F9" s="15" t="n">
        <v>801555.5543</v>
      </c>
      <c r="G9" s="15" t="n">
        <v>-13782.51053199997</v>
      </c>
      <c r="H9" s="16" t="n">
        <v>-0.01749553458452551</v>
      </c>
      <c r="I9" s="17" t="n">
        <v>1708</v>
      </c>
      <c r="J9" s="17" t="n">
        <v>429</v>
      </c>
      <c r="K9" s="17" t="n">
        <v>88</v>
      </c>
    </row>
    <row r="10">
      <c r="A10" s="17" t="n">
        <v>29701</v>
      </c>
      <c r="B10" s="14" t="inlineStr">
        <is>
          <t>AW00029701</t>
        </is>
      </c>
      <c r="C10" s="14" t="inlineStr">
        <is>
          <t>Kirk</t>
        </is>
      </c>
      <c r="D10" s="14" t="inlineStr">
        <is>
          <t>DeGrasse</t>
        </is>
      </c>
      <c r="E10" s="15" t="n">
        <v>746317.529257</v>
      </c>
      <c r="F10" s="15" t="n">
        <v>774235.9998</v>
      </c>
      <c r="G10" s="15" t="n">
        <v>-27918.47054299998</v>
      </c>
      <c r="H10" s="16" t="n">
        <v>-0.03740830068777073</v>
      </c>
      <c r="I10" s="17" t="n">
        <v>1688</v>
      </c>
      <c r="J10" s="17" t="n">
        <v>332</v>
      </c>
      <c r="K10" s="17" t="n">
        <v>82</v>
      </c>
    </row>
    <row r="11">
      <c r="A11" s="17" t="n">
        <v>29617</v>
      </c>
      <c r="B11" s="14" t="inlineStr">
        <is>
          <t>AW00029617</t>
        </is>
      </c>
      <c r="C11" s="14" t="inlineStr">
        <is>
          <t>Lindsey</t>
        </is>
      </c>
      <c r="D11" s="14" t="inlineStr">
        <is>
          <t>Camacho</t>
        </is>
      </c>
      <c r="E11" s="15" t="n">
        <v>740985.833742</v>
      </c>
      <c r="F11" s="15" t="n">
        <v>765498.7062</v>
      </c>
      <c r="G11" s="15" t="n">
        <v>-24512.87245799997</v>
      </c>
      <c r="H11" s="16" t="n">
        <v>-0.03308143198124215</v>
      </c>
      <c r="I11" s="17" t="n">
        <v>1344</v>
      </c>
      <c r="J11" s="17" t="n">
        <v>358</v>
      </c>
      <c r="K11" s="17" t="n">
        <v>84</v>
      </c>
    </row>
    <row r="12">
      <c r="A12" s="17" t="n">
        <v>29994</v>
      </c>
      <c r="B12" s="14" t="inlineStr">
        <is>
          <t>AW00029994</t>
        </is>
      </c>
      <c r="C12" s="14" t="inlineStr">
        <is>
          <t>Robin</t>
        </is>
      </c>
      <c r="D12" s="14" t="inlineStr">
        <is>
          <t>McGuigan</t>
        </is>
      </c>
      <c r="E12" s="15" t="n">
        <v>730798.713914</v>
      </c>
      <c r="F12" s="15" t="n">
        <v>757131.531</v>
      </c>
      <c r="G12" s="15" t="n">
        <v>-26332.81708599999</v>
      </c>
      <c r="H12" s="16" t="n">
        <v>-0.03603292751429064</v>
      </c>
      <c r="I12" s="17" t="n">
        <v>1408</v>
      </c>
      <c r="J12" s="17" t="n">
        <v>352</v>
      </c>
      <c r="K12" s="17" t="n">
        <v>79</v>
      </c>
    </row>
    <row r="13">
      <c r="A13" s="17" t="n">
        <v>29646</v>
      </c>
      <c r="B13" s="14" t="inlineStr">
        <is>
          <t>AW00029646</t>
        </is>
      </c>
      <c r="C13" s="14" t="inlineStr">
        <is>
          <t>Stacey</t>
        </is>
      </c>
      <c r="D13" s="14" t="inlineStr">
        <is>
          <t>Cereghino</t>
        </is>
      </c>
      <c r="E13" s="15" t="n">
        <v>727272.649367</v>
      </c>
      <c r="F13" s="15" t="n">
        <v>754259.0177</v>
      </c>
      <c r="G13" s="15" t="n">
        <v>-26986.36833299998</v>
      </c>
      <c r="H13" s="16" t="n">
        <v>-0.0371062604327115</v>
      </c>
      <c r="I13" s="17" t="n">
        <v>1344</v>
      </c>
      <c r="J13" s="17" t="n">
        <v>336</v>
      </c>
      <c r="K13" s="17" t="n">
        <v>75</v>
      </c>
    </row>
    <row r="14">
      <c r="A14" s="17" t="n">
        <v>29580</v>
      </c>
      <c r="B14" s="14" t="inlineStr">
        <is>
          <t>AW00029580</t>
        </is>
      </c>
      <c r="C14" s="14" t="inlineStr">
        <is>
          <t>Richard</t>
        </is>
      </c>
      <c r="D14" s="14" t="inlineStr">
        <is>
          <t>Bready</t>
        </is>
      </c>
      <c r="E14" s="15" t="n">
        <v>724299.636471</v>
      </c>
      <c r="F14" s="15" t="n">
        <v>660608.16</v>
      </c>
      <c r="G14" s="15" t="n">
        <v>63691.47647100001</v>
      </c>
      <c r="H14" s="16" t="n">
        <v>0.08793525947537892</v>
      </c>
      <c r="I14" s="17" t="n">
        <v>1578</v>
      </c>
      <c r="J14" s="17" t="n">
        <v>332</v>
      </c>
      <c r="K14" s="17" t="n">
        <v>92</v>
      </c>
    </row>
    <row r="15">
      <c r="A15" s="17" t="n">
        <v>29827</v>
      </c>
      <c r="B15" s="14" t="inlineStr">
        <is>
          <t>AW00029827</t>
        </is>
      </c>
      <c r="C15" s="14" t="inlineStr">
        <is>
          <t>Valerie</t>
        </is>
      </c>
      <c r="D15" s="14" t="inlineStr">
        <is>
          <t>Hendricks</t>
        </is>
      </c>
      <c r="E15" s="15" t="n">
        <v>711864.762447</v>
      </c>
      <c r="F15" s="15" t="n">
        <v>733920.2233</v>
      </c>
      <c r="G15" s="15" t="n">
        <v>-22055.46085299998</v>
      </c>
      <c r="H15" s="16" t="n">
        <v>-0.03098265571846177</v>
      </c>
      <c r="I15" s="17" t="n">
        <v>1155</v>
      </c>
      <c r="J15" s="17" t="n">
        <v>312</v>
      </c>
      <c r="K15" s="17" t="n">
        <v>74</v>
      </c>
    </row>
    <row r="16">
      <c r="A16" s="17" t="n">
        <v>29497</v>
      </c>
      <c r="B16" s="14" t="inlineStr">
        <is>
          <t>AW00029497</t>
        </is>
      </c>
      <c r="C16" s="14" t="inlineStr">
        <is>
          <t>François</t>
        </is>
      </c>
      <c r="D16" s="14" t="inlineStr">
        <is>
          <t>Ferrier</t>
        </is>
      </c>
      <c r="E16" s="15" t="n">
        <v>700803.785335</v>
      </c>
      <c r="F16" s="15" t="n">
        <v>643778.6557</v>
      </c>
      <c r="G16" s="15" t="n">
        <v>57025.12963500001</v>
      </c>
      <c r="H16" s="16" t="n">
        <v>0.08137103541434314</v>
      </c>
      <c r="I16" s="17" t="n">
        <v>1382</v>
      </c>
      <c r="J16" s="17" t="n">
        <v>290</v>
      </c>
      <c r="K16" s="17" t="n">
        <v>79</v>
      </c>
    </row>
    <row r="17">
      <c r="A17" s="17" t="n">
        <v>29716</v>
      </c>
      <c r="B17" s="14" t="inlineStr">
        <is>
          <t>AW00029716</t>
        </is>
      </c>
      <c r="C17" s="14" t="inlineStr">
        <is>
          <t>Blaine</t>
        </is>
      </c>
      <c r="D17" s="14" t="inlineStr">
        <is>
          <t>Dockter</t>
        </is>
      </c>
      <c r="E17" s="15" t="n">
        <v>693502.4852240001</v>
      </c>
      <c r="F17" s="15" t="n">
        <v>705159.9928</v>
      </c>
      <c r="G17" s="15" t="n">
        <v>-11657.50757599997</v>
      </c>
      <c r="H17" s="16" t="n">
        <v>-0.01680961182458433</v>
      </c>
      <c r="I17" s="17" t="n">
        <v>1488</v>
      </c>
      <c r="J17" s="17" t="n">
        <v>422</v>
      </c>
      <c r="K17" s="17" t="n">
        <v>92</v>
      </c>
    </row>
    <row r="18">
      <c r="A18" s="17" t="n">
        <v>29913</v>
      </c>
      <c r="B18" s="14" t="inlineStr">
        <is>
          <t>AW00029913</t>
        </is>
      </c>
      <c r="C18" s="14" t="inlineStr">
        <is>
          <t>Anton</t>
        </is>
      </c>
      <c r="D18" s="14" t="inlineStr">
        <is>
          <t>Kirilov</t>
        </is>
      </c>
      <c r="E18" s="15" t="n">
        <v>671618.029459</v>
      </c>
      <c r="F18" s="15" t="n">
        <v>617600.7574999999</v>
      </c>
      <c r="G18" s="15" t="n">
        <v>54017.27195900001</v>
      </c>
      <c r="H18" s="16" t="n">
        <v>0.08042856145853002</v>
      </c>
      <c r="I18" s="17" t="n">
        <v>1946</v>
      </c>
      <c r="J18" s="17" t="n">
        <v>357</v>
      </c>
      <c r="K18" s="17" t="n">
        <v>87</v>
      </c>
    </row>
  </sheetData>
  <autoFilter ref="A3:K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2" customWidth="1" min="2" max="2"/>
    <col width="21" customWidth="1" min="3" max="3"/>
    <col width="17" customWidth="1" min="4" max="4"/>
    <col width="19" customWidth="1" min="5" max="5"/>
    <col width="20" customWidth="1" min="6" max="6"/>
    <col width="23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Seller Performance</t>
        </is>
      </c>
    </row>
    <row r="2"/>
    <row r="3">
      <c r="A3" s="13" t="inlineStr">
        <is>
          <t>SalesPersonID</t>
        </is>
      </c>
      <c r="B3" s="13" t="inlineStr">
        <is>
          <t>SalesPersonFirstName</t>
        </is>
      </c>
      <c r="C3" s="13" t="inlineStr">
        <is>
          <t>SalesPersonLastName</t>
        </is>
      </c>
      <c r="D3" s="13" t="inlineStr">
        <is>
          <t>Revenue</t>
        </is>
      </c>
      <c r="E3" s="13" t="inlineStr">
        <is>
          <t>Cost</t>
        </is>
      </c>
      <c r="F3" s="13" t="inlineStr">
        <is>
          <t>GrossProfit</t>
        </is>
      </c>
      <c r="G3" s="13" t="inlineStr">
        <is>
          <t>GrossMarginPct</t>
        </is>
      </c>
      <c r="H3" s="13" t="inlineStr">
        <is>
          <t>UnitsSold</t>
        </is>
      </c>
      <c r="I3" s="13" t="inlineStr">
        <is>
          <t>SalesLines</t>
        </is>
      </c>
      <c r="J3" s="13" t="inlineStr">
        <is>
          <t>Customers</t>
        </is>
      </c>
    </row>
    <row r="4">
      <c r="A4" s="17" t="n">
        <v>276</v>
      </c>
      <c r="B4" s="14" t="inlineStr">
        <is>
          <t>Linda</t>
        </is>
      </c>
      <c r="C4" s="14" t="inlineStr">
        <is>
          <t>Mitchell</t>
        </is>
      </c>
      <c r="D4" s="15" t="n">
        <v>10367007.426033</v>
      </c>
      <c r="E4" s="15" t="n">
        <v>10194991.3133</v>
      </c>
      <c r="F4" s="15" t="n">
        <v>172016.1127330002</v>
      </c>
      <c r="G4" s="16" t="n">
        <v>0.01659264874268768</v>
      </c>
      <c r="H4" s="17" t="n">
        <v>27229</v>
      </c>
      <c r="I4" s="17" t="n">
        <v>7107</v>
      </c>
      <c r="J4" s="17" t="n">
        <v>69</v>
      </c>
    </row>
    <row r="5">
      <c r="A5" s="17" t="n">
        <v>277</v>
      </c>
      <c r="B5" s="14" t="inlineStr">
        <is>
          <t>Jillian</t>
        </is>
      </c>
      <c r="C5" s="14" t="inlineStr">
        <is>
          <t>Carson</t>
        </is>
      </c>
      <c r="D5" s="15" t="n">
        <v>10065803.540242</v>
      </c>
      <c r="E5" s="15" t="n">
        <v>9901267.927999999</v>
      </c>
      <c r="F5" s="15" t="n">
        <v>164535.6122420002</v>
      </c>
      <c r="G5" s="16" t="n">
        <v>0.01634599876544427</v>
      </c>
      <c r="H5" s="17" t="n">
        <v>27051</v>
      </c>
      <c r="I5" s="17" t="n">
        <v>7825</v>
      </c>
      <c r="J5" s="17" t="n">
        <v>121</v>
      </c>
    </row>
    <row r="6">
      <c r="A6" s="17" t="n">
        <v>275</v>
      </c>
      <c r="B6" s="14" t="inlineStr">
        <is>
          <t>Michael</t>
        </is>
      </c>
      <c r="C6" s="14" t="inlineStr">
        <is>
          <t>Blythe</t>
        </is>
      </c>
      <c r="D6" s="15" t="n">
        <v>9293903.004401</v>
      </c>
      <c r="E6" s="15" t="n">
        <v>9171833.586199999</v>
      </c>
      <c r="F6" s="15" t="n">
        <v>122069.4182010002</v>
      </c>
      <c r="G6" s="16" t="n">
        <v>0.01313435465629412</v>
      </c>
      <c r="H6" s="17" t="n">
        <v>23058</v>
      </c>
      <c r="I6" s="17" t="n">
        <v>7069</v>
      </c>
      <c r="J6" s="17" t="n">
        <v>118</v>
      </c>
    </row>
    <row r="7">
      <c r="A7" s="17" t="n">
        <v>289</v>
      </c>
      <c r="B7" s="14" t="inlineStr">
        <is>
          <t>Jae</t>
        </is>
      </c>
      <c r="C7" s="14" t="inlineStr">
        <is>
          <t>Pak</t>
        </is>
      </c>
      <c r="D7" s="15" t="n">
        <v>8503338.645385999</v>
      </c>
      <c r="E7" s="15" t="n">
        <v>8269610.7077</v>
      </c>
      <c r="F7" s="15" t="n">
        <v>233727.9376860002</v>
      </c>
      <c r="G7" s="16" t="n">
        <v>0.02748660819392668</v>
      </c>
      <c r="H7" s="17" t="n">
        <v>26231</v>
      </c>
      <c r="I7" s="17" t="n">
        <v>6738</v>
      </c>
      <c r="J7" s="17" t="n">
        <v>62</v>
      </c>
    </row>
    <row r="8">
      <c r="A8" s="17" t="n">
        <v>279</v>
      </c>
      <c r="B8" s="14" t="inlineStr">
        <is>
          <t>Tsvi</t>
        </is>
      </c>
      <c r="C8" s="14" t="inlineStr">
        <is>
          <t>Reiter</t>
        </is>
      </c>
      <c r="D8" s="15" t="n">
        <v>7171012.749141</v>
      </c>
      <c r="E8" s="15" t="n">
        <v>7060057.391</v>
      </c>
      <c r="F8" s="15" t="n">
        <v>110955.3581410002</v>
      </c>
      <c r="G8" s="16" t="n">
        <v>0.0154727598489197</v>
      </c>
      <c r="H8" s="17" t="n">
        <v>16431</v>
      </c>
      <c r="I8" s="17" t="n">
        <v>5417</v>
      </c>
      <c r="J8" s="17" t="n">
        <v>74</v>
      </c>
    </row>
    <row r="9">
      <c r="A9" s="17" t="n">
        <v>281</v>
      </c>
      <c r="B9" s="14" t="inlineStr">
        <is>
          <t>Shu</t>
        </is>
      </c>
      <c r="C9" s="14" t="inlineStr">
        <is>
          <t>Ito</t>
        </is>
      </c>
      <c r="D9" s="15" t="n">
        <v>6427005.553889</v>
      </c>
      <c r="E9" s="15" t="n">
        <v>6589408.7297</v>
      </c>
      <c r="F9" s="15" t="n">
        <v>-162403.1758109998</v>
      </c>
      <c r="G9" s="16" t="n">
        <v>-0.02526887124171368</v>
      </c>
      <c r="H9" s="17" t="n">
        <v>15397</v>
      </c>
      <c r="I9" s="17" t="n">
        <v>4545</v>
      </c>
      <c r="J9" s="17" t="n">
        <v>35</v>
      </c>
    </row>
    <row r="10">
      <c r="A10" s="17" t="n">
        <v>282</v>
      </c>
      <c r="B10" s="14" t="inlineStr">
        <is>
          <t>José</t>
        </is>
      </c>
      <c r="C10" s="14" t="inlineStr">
        <is>
          <t>Saraiva</t>
        </is>
      </c>
      <c r="D10" s="15" t="n">
        <v>5926418.355245</v>
      </c>
      <c r="E10" s="15" t="n">
        <v>5899710.3777</v>
      </c>
      <c r="F10" s="15" t="n">
        <v>26707.97754500015</v>
      </c>
      <c r="G10" s="16" t="n">
        <v>0.004506596724033675</v>
      </c>
      <c r="H10" s="17" t="n">
        <v>15220</v>
      </c>
      <c r="I10" s="17" t="n">
        <v>4437</v>
      </c>
      <c r="J10" s="17" t="n">
        <v>67</v>
      </c>
    </row>
    <row r="11">
      <c r="A11" s="17" t="n">
        <v>290</v>
      </c>
      <c r="B11" s="14" t="inlineStr">
        <is>
          <t>Ranjit</t>
        </is>
      </c>
      <c r="C11" s="14" t="inlineStr">
        <is>
          <t>Varkey Chudukatil</t>
        </is>
      </c>
      <c r="D11" s="15" t="n">
        <v>4509888.930751</v>
      </c>
      <c r="E11" s="15" t="n">
        <v>4547704.197</v>
      </c>
      <c r="F11" s="15" t="n">
        <v>-37815.26624899985</v>
      </c>
      <c r="G11" s="16" t="n">
        <v>-0.008384966199755777</v>
      </c>
      <c r="H11" s="17" t="n">
        <v>14085</v>
      </c>
      <c r="I11" s="17" t="n">
        <v>3419</v>
      </c>
      <c r="J11" s="17" t="n">
        <v>34</v>
      </c>
    </row>
    <row r="12">
      <c r="A12" s="17" t="n">
        <v>283</v>
      </c>
      <c r="B12" s="14" t="inlineStr">
        <is>
          <t>David</t>
        </is>
      </c>
      <c r="C12" s="14" t="inlineStr">
        <is>
          <t>Campbell</t>
        </is>
      </c>
      <c r="D12" s="15" t="n">
        <v>3729945.348765</v>
      </c>
      <c r="E12" s="15" t="n">
        <v>3662619.7224</v>
      </c>
      <c r="F12" s="15" t="n">
        <v>67325.62636500008</v>
      </c>
      <c r="G12" s="16" t="n">
        <v>0.01805003024703616</v>
      </c>
      <c r="H12" s="17" t="n">
        <v>8172</v>
      </c>
      <c r="I12" s="17" t="n">
        <v>2247</v>
      </c>
      <c r="J12" s="17" t="n">
        <v>31</v>
      </c>
    </row>
    <row r="13">
      <c r="A13" s="17" t="n">
        <v>278</v>
      </c>
      <c r="B13" s="14" t="inlineStr">
        <is>
          <t>Garrett</t>
        </is>
      </c>
      <c r="C13" s="14" t="inlineStr">
        <is>
          <t>Vargas</t>
        </is>
      </c>
      <c r="D13" s="15" t="n">
        <v>3609447.214756</v>
      </c>
      <c r="E13" s="15" t="n">
        <v>3629418.0255</v>
      </c>
      <c r="F13" s="15" t="n">
        <v>-19970.8107439999</v>
      </c>
      <c r="G13" s="16" t="n">
        <v>-0.005532927774191022</v>
      </c>
      <c r="H13" s="17" t="n">
        <v>11544</v>
      </c>
      <c r="I13" s="17" t="n">
        <v>3284</v>
      </c>
      <c r="J13" s="17" t="n">
        <v>38</v>
      </c>
    </row>
    <row r="14">
      <c r="A14" s="17" t="n">
        <v>280</v>
      </c>
      <c r="B14" s="14" t="inlineStr">
        <is>
          <t>Pamela</t>
        </is>
      </c>
      <c r="C14" s="14" t="inlineStr">
        <is>
          <t>Ansman-Wolfe</t>
        </is>
      </c>
      <c r="D14" s="15" t="n">
        <v>3325102.593979</v>
      </c>
      <c r="E14" s="15" t="n">
        <v>3199986.5726</v>
      </c>
      <c r="F14" s="15" t="n">
        <v>125116.0213790001</v>
      </c>
      <c r="G14" s="16" t="n">
        <v>0.03762771759450568</v>
      </c>
      <c r="H14" s="17" t="n">
        <v>7360</v>
      </c>
      <c r="I14" s="17" t="n">
        <v>2064</v>
      </c>
      <c r="J14" s="17" t="n">
        <v>29</v>
      </c>
    </row>
    <row r="15">
      <c r="A15" s="17" t="n">
        <v>284</v>
      </c>
      <c r="B15" s="14" t="inlineStr">
        <is>
          <t>Tete</t>
        </is>
      </c>
      <c r="C15" s="14" t="inlineStr">
        <is>
          <t>Mensa-Annan</t>
        </is>
      </c>
      <c r="D15" s="15" t="n">
        <v>2312545.689947</v>
      </c>
      <c r="E15" s="15" t="n">
        <v>2373027.4951</v>
      </c>
      <c r="F15" s="15" t="n">
        <v>-60481.80515299993</v>
      </c>
      <c r="G15" s="16" t="n">
        <v>-0.02615377737872331</v>
      </c>
      <c r="H15" s="17" t="n">
        <v>5650</v>
      </c>
      <c r="I15" s="17" t="n">
        <v>1893</v>
      </c>
      <c r="J15" s="17" t="n">
        <v>30</v>
      </c>
    </row>
    <row r="16">
      <c r="A16" s="17" t="n">
        <v>288</v>
      </c>
      <c r="B16" s="14" t="inlineStr">
        <is>
          <t>Rachel</t>
        </is>
      </c>
      <c r="C16" s="14" t="inlineStr">
        <is>
          <t>Valdez</t>
        </is>
      </c>
      <c r="D16" s="15" t="n">
        <v>1827066.711741</v>
      </c>
      <c r="E16" s="15" t="n">
        <v>1916642.8859</v>
      </c>
      <c r="F16" s="15" t="n">
        <v>-89576.17415899993</v>
      </c>
      <c r="G16" s="16" t="n">
        <v>-0.04902731442884392</v>
      </c>
      <c r="H16" s="17" t="n">
        <v>7033</v>
      </c>
      <c r="I16" s="17" t="n">
        <v>1783</v>
      </c>
      <c r="J16" s="17" t="n">
        <v>32</v>
      </c>
    </row>
    <row r="17">
      <c r="A17" s="17" t="n">
        <v>286</v>
      </c>
      <c r="B17" s="14" t="inlineStr">
        <is>
          <t>Lynn</t>
        </is>
      </c>
      <c r="C17" s="14" t="inlineStr">
        <is>
          <t>Tsoflias</t>
        </is>
      </c>
      <c r="D17" s="15" t="n">
        <v>1421810.923842</v>
      </c>
      <c r="E17" s="15" t="n">
        <v>1509765.3691</v>
      </c>
      <c r="F17" s="15" t="n">
        <v>-87954.44525799995</v>
      </c>
      <c r="G17" s="16" t="n">
        <v>-0.06186085912206281</v>
      </c>
      <c r="H17" s="17" t="n">
        <v>4123</v>
      </c>
      <c r="I17" s="17" t="n">
        <v>1468</v>
      </c>
      <c r="J17" s="17" t="n">
        <v>33</v>
      </c>
    </row>
    <row r="18">
      <c r="A18" s="17" t="n">
        <v>274</v>
      </c>
      <c r="B18" s="14" t="inlineStr">
        <is>
          <t>Stephen</t>
        </is>
      </c>
      <c r="C18" s="14" t="inlineStr">
        <is>
          <t>Jiang</t>
        </is>
      </c>
      <c r="D18" s="15" t="n">
        <v>1092123.85595</v>
      </c>
      <c r="E18" s="15" t="n">
        <v>1153617.459</v>
      </c>
      <c r="F18" s="15" t="n">
        <v>-61493.60304999995</v>
      </c>
      <c r="G18" s="16" t="n">
        <v>-0.05630643696223341</v>
      </c>
      <c r="H18" s="17" t="n">
        <v>3095</v>
      </c>
      <c r="I18" s="17" t="n">
        <v>792</v>
      </c>
      <c r="J18" s="17" t="n">
        <v>44</v>
      </c>
    </row>
    <row r="19">
      <c r="A19" s="17" t="n">
        <v>287</v>
      </c>
      <c r="B19" s="14" t="inlineStr">
        <is>
          <t>Amy</t>
        </is>
      </c>
      <c r="C19" s="14" t="inlineStr">
        <is>
          <t>Alberts</t>
        </is>
      </c>
      <c r="D19" s="15" t="n">
        <v>732759.184045</v>
      </c>
      <c r="E19" s="15" t="n">
        <v>737854.5752</v>
      </c>
      <c r="F19" s="15" t="n">
        <v>-5095.391154999977</v>
      </c>
      <c r="G19" s="16" t="n">
        <v>-0.006953704936009455</v>
      </c>
      <c r="H19" s="17" t="n">
        <v>2012</v>
      </c>
      <c r="I19" s="17" t="n">
        <v>586</v>
      </c>
      <c r="J19" s="17" t="n">
        <v>29</v>
      </c>
    </row>
    <row r="20">
      <c r="A20" s="17" t="n">
        <v>285</v>
      </c>
      <c r="B20" s="14" t="inlineStr">
        <is>
          <t>Syed</t>
        </is>
      </c>
      <c r="C20" s="14" t="inlineStr">
        <is>
          <t>Abbas</t>
        </is>
      </c>
      <c r="D20" s="15" t="n">
        <v>172524.451075</v>
      </c>
      <c r="E20" s="15" t="n">
        <v>193290.8897</v>
      </c>
      <c r="F20" s="15" t="n">
        <v>-20766.438625</v>
      </c>
      <c r="G20" s="16" t="n">
        <v>-0.1203680898307707</v>
      </c>
      <c r="H20" s="17" t="n">
        <v>825</v>
      </c>
      <c r="I20" s="17" t="n">
        <v>245</v>
      </c>
      <c r="J20" s="17" t="n">
        <v>14</v>
      </c>
    </row>
  </sheetData>
  <autoFilter ref="A3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2026-09-15T18:54:25Z</dcterms:created>
  <dcterms:modified xsi:type="dcterms:W3CDTF">2026-09-15T18:54:26Z</dcterms:modified>
</cp:coreProperties>
</file>